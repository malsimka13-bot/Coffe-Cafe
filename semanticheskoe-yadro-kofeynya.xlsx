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емантическое ядро" sheetId="1" state="visible" r:id="rId3"/>
  </sheets>
  <definedNames>
    <definedName function="false" hidden="true" localSheetId="0" name="_xlnm._FilterDatabase" vbProcedure="false">'Семантическое ядро'!$A$1:$D$17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<sst xmlns="http://schemas.openxmlformats.org/spreadsheetml/2006/main" count="61" uniqueCount="37">
  <si>
    <t xml:space="preserve">Поисковый запрос</t>
  </si>
  <si>
    <t xml:space="preserve">Целевая страница сайта</t>
  </si>
  <si>
    <t xml:space="preserve">Показов в месяц (Новосибирск)</t>
  </si>
  <si>
    <t xml:space="preserve">Тип запроса (Частотность)</t>
  </si>
  <si>
    <t xml:space="preserve">кофейня новосибирск</t>
  </si>
  <si>
    <t xml:space="preserve">Главная (index.html)</t>
  </si>
  <si>
    <t xml:space="preserve">Высокочастотный</t>
  </si>
  <si>
    <t xml:space="preserve">кафе новосибирск</t>
  </si>
  <si>
    <t xml:space="preserve">уютное кафе новосибирск</t>
  </si>
  <si>
    <t xml:space="preserve">Среднечастотный</t>
  </si>
  <si>
    <t xml:space="preserve">меню кофейни</t>
  </si>
  <si>
    <t xml:space="preserve">Меню (menu.html)</t>
  </si>
  <si>
    <t xml:space="preserve">кофейная карта</t>
  </si>
  <si>
    <t xml:space="preserve">Низкочастотный</t>
  </si>
  <si>
    <t xml:space="preserve">холодный кофе</t>
  </si>
  <si>
    <t xml:space="preserve">авторские напитки</t>
  </si>
  <si>
    <t xml:space="preserve">атмосферное кафе</t>
  </si>
  <si>
    <t xml:space="preserve">Атмосфера (atmosphere.html)</t>
  </si>
  <si>
    <t xml:space="preserve">кафе с вайфаем новосибирск</t>
  </si>
  <si>
    <t xml:space="preserve">кофейня для работы с ноутбуком</t>
  </si>
  <si>
    <t xml:space="preserve">калорийность блюд в кафе</t>
  </si>
  <si>
    <t xml:space="preserve">Калорийность (calories.html)</t>
  </si>
  <si>
    <t xml:space="preserve">бжу десертов</t>
  </si>
  <si>
    <t xml:space="preserve">пп десерты кофейня</t>
  </si>
  <si>
    <t xml:space="preserve">забронировать столик в кафе</t>
  </si>
  <si>
    <t xml:space="preserve">Контакты (contacts.html)</t>
  </si>
  <si>
    <t xml:space="preserve">кафе рядом со мной</t>
  </si>
  <si>
    <t xml:space="preserve">телефон кофейни</t>
  </si>
  <si>
    <t xml:space="preserve">Всего запросов</t>
  </si>
  <si>
    <t xml:space="preserve">Суммарно показов в месяц</t>
  </si>
  <si>
    <t xml:space="preserve">Высокочастотных</t>
  </si>
  <si>
    <t xml:space="preserve">Среднечастотных</t>
  </si>
  <si>
    <t xml:space="preserve">Низкочастотных</t>
  </si>
  <si>
    <t xml:space="preserve">Примечания:</t>
  </si>
  <si>
    <t xml:space="preserve">Источник: Яндекс Вордстат, регион «Новосибирск». Значения частотности предоставлены автором проекта.</t>
  </si>
  <si>
    <t xml:space="preserve">Тип запроса (ориентир): свыше 10 000 показов — высокочастотный, 1 000–10 000 — среднечастотный, менее 1 000 — низкочастотный.</t>
  </si>
  <si>
    <t xml:space="preserve">Проект: учебный сайт кофейни (Новосибирск).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</si>
</sst>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D7A52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6B646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6B6462"/>
      <name val="Arial"/>
      <family val="0"/>
      <charset val="1"/>
    </font>
    <font>
      <sz val="10"/>
      <color rgb="FF6B646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83018"/>
        <bgColor rgb="FF333333"/>
      </patternFill>
    </fill>
    <fill>
      <patternFill patternType="solid">
        <fgColor rgb="FFFFFFFF"/>
        <bgColor rgb="FFFAEDCD"/>
      </patternFill>
    </fill>
    <fill>
      <patternFill patternType="solid">
        <fgColor rgb="FFFAEDCD"/>
        <bgColor rgb="FFEADBC8"/>
      </patternFill>
    </fill>
    <fill>
      <patternFill patternType="solid">
        <fgColor rgb="FFEADBC8"/>
        <bgColor rgb="FFFAED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8A6"/>
      </left>
      <right style="thin">
        <color rgb="FFC9B8A6"/>
      </right>
      <top style="thin">
        <color rgb="FFC9B8A6"/>
      </top>
      <bottom style="thin">
        <color rgb="FFC9B8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583018"/>
          <bgColor rgb="FF000000"/>
        </patternFill>
      </fill>
    </dxf>
    <dxf>
      <fill>
        <patternFill patternType="solid">
          <fgColor rgb="FFFAED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7A52"/>
          <bgColor rgb="FF000000"/>
        </patternFill>
      </fill>
    </dxf>
    <dxf>
      <fill>
        <patternFill patternType="solid">
          <fgColor rgb="FF6B6462"/>
          <bgColor rgb="FF000000"/>
        </patternFill>
      </fill>
    </dxf>
    <dxf>
      <fill>
        <patternFill patternType="solid">
          <fgColor rgb="FFB779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1D7A52"/>
      <rgbColor rgb="FFC9B8A6"/>
      <rgbColor rgb="FF808080"/>
      <rgbColor rgb="FF9999FF"/>
      <rgbColor rgb="FF993366"/>
      <rgbColor rgb="FFFAED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DBC8"/>
      <rgbColor rgb="FF3366FF"/>
      <rgbColor rgb="FF33CCCC"/>
      <rgbColor rgb="FF99CC00"/>
      <rgbColor rgb="FFFFCC00"/>
      <rgbColor rgb="FFFF9900"/>
      <rgbColor rgb="FFFF6600"/>
      <rgbColor rgb="FF6B6462"/>
      <rgbColor rgb="FF969696"/>
      <rgbColor rgb="FF003366"/>
      <rgbColor rgb="FF339966"/>
      <rgbColor rgb="FF003300"/>
      <rgbColor rgb="FF5830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2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12400</v>
      </c>
      <c r="D2" s="4" t="s">
        <v>6</v>
      </c>
    </row>
    <row r="3" customFormat="false" ht="15" hidden="false" customHeight="false" outlineLevel="0" collapsed="false">
      <c r="A3" s="2" t="s">
        <v>7</v>
      </c>
      <c r="B3" s="2" t="s">
        <v>5</v>
      </c>
      <c r="C3" s="3" t="n">
        <v>84100</v>
      </c>
      <c r="D3" s="4" t="s">
        <v>6</v>
      </c>
    </row>
    <row r="4" customFormat="false" ht="15" hidden="false" customHeight="false" outlineLevel="0" collapsed="false">
      <c r="A4" s="2" t="s">
        <v>8</v>
      </c>
      <c r="B4" s="2" t="s">
        <v>5</v>
      </c>
      <c r="C4" s="3" t="n">
        <v>1150</v>
      </c>
      <c r="D4" s="5" t="s">
        <v>9</v>
      </c>
    </row>
    <row r="5" customFormat="false" ht="15" hidden="false" customHeight="false" outlineLevel="0" collapsed="false">
      <c r="A5" s="6" t="s">
        <v>10</v>
      </c>
      <c r="B5" s="6" t="s">
        <v>11</v>
      </c>
      <c r="C5" s="7" t="n">
        <v>2400</v>
      </c>
      <c r="D5" s="8" t="s">
        <v>9</v>
      </c>
    </row>
    <row r="6" customFormat="false" ht="15" hidden="false" customHeight="false" outlineLevel="0" collapsed="false">
      <c r="A6" s="6" t="s">
        <v>12</v>
      </c>
      <c r="B6" s="6" t="s">
        <v>11</v>
      </c>
      <c r="C6" s="7" t="n">
        <v>450</v>
      </c>
      <c r="D6" s="9" t="s">
        <v>13</v>
      </c>
    </row>
    <row r="7" customFormat="false" ht="15" hidden="false" customHeight="false" outlineLevel="0" collapsed="false">
      <c r="A7" s="6" t="s">
        <v>14</v>
      </c>
      <c r="B7" s="6" t="s">
        <v>11</v>
      </c>
      <c r="C7" s="7" t="n">
        <v>820</v>
      </c>
      <c r="D7" s="9" t="s">
        <v>13</v>
      </c>
    </row>
    <row r="8" customFormat="false" ht="15" hidden="false" customHeight="false" outlineLevel="0" collapsed="false">
      <c r="A8" s="6" t="s">
        <v>15</v>
      </c>
      <c r="B8" s="6" t="s">
        <v>11</v>
      </c>
      <c r="C8" s="7" t="n">
        <v>310</v>
      </c>
      <c r="D8" s="9" t="s">
        <v>13</v>
      </c>
    </row>
    <row r="9" customFormat="false" ht="15" hidden="false" customHeight="false" outlineLevel="0" collapsed="false">
      <c r="A9" s="2" t="s">
        <v>16</v>
      </c>
      <c r="B9" s="2" t="s">
        <v>17</v>
      </c>
      <c r="C9" s="3" t="n">
        <v>1850</v>
      </c>
      <c r="D9" s="5" t="s">
        <v>9</v>
      </c>
    </row>
    <row r="10" customFormat="false" ht="15" hidden="false" customHeight="false" outlineLevel="0" collapsed="false">
      <c r="A10" s="2" t="s">
        <v>18</v>
      </c>
      <c r="B10" s="2" t="s">
        <v>17</v>
      </c>
      <c r="C10" s="3" t="n">
        <v>340</v>
      </c>
      <c r="D10" s="10" t="s">
        <v>13</v>
      </c>
    </row>
    <row r="11" customFormat="false" ht="15" hidden="false" customHeight="false" outlineLevel="0" collapsed="false">
      <c r="A11" s="2" t="s">
        <v>19</v>
      </c>
      <c r="B11" s="2" t="s">
        <v>17</v>
      </c>
      <c r="C11" s="3" t="n">
        <v>210</v>
      </c>
      <c r="D11" s="10" t="s">
        <v>13</v>
      </c>
    </row>
    <row r="12" customFormat="false" ht="15" hidden="false" customHeight="false" outlineLevel="0" collapsed="false">
      <c r="A12" s="6" t="s">
        <v>20</v>
      </c>
      <c r="B12" s="6" t="s">
        <v>21</v>
      </c>
      <c r="C12" s="7" t="n">
        <v>720</v>
      </c>
      <c r="D12" s="9" t="s">
        <v>13</v>
      </c>
    </row>
    <row r="13" customFormat="false" ht="15" hidden="false" customHeight="false" outlineLevel="0" collapsed="false">
      <c r="A13" s="6" t="s">
        <v>22</v>
      </c>
      <c r="B13" s="6" t="s">
        <v>21</v>
      </c>
      <c r="C13" s="7" t="n">
        <v>180</v>
      </c>
      <c r="D13" s="9" t="s">
        <v>13</v>
      </c>
    </row>
    <row r="14" customFormat="false" ht="15" hidden="false" customHeight="false" outlineLevel="0" collapsed="false">
      <c r="A14" s="6" t="s">
        <v>23</v>
      </c>
      <c r="B14" s="6" t="s">
        <v>21</v>
      </c>
      <c r="C14" s="7" t="n">
        <v>430</v>
      </c>
      <c r="D14" s="9" t="s">
        <v>13</v>
      </c>
    </row>
    <row r="15" customFormat="false" ht="15" hidden="false" customHeight="false" outlineLevel="0" collapsed="false">
      <c r="A15" s="2" t="s">
        <v>24</v>
      </c>
      <c r="B15" s="2" t="s">
        <v>25</v>
      </c>
      <c r="C15" s="3" t="n">
        <v>3200</v>
      </c>
      <c r="D15" s="5" t="s">
        <v>9</v>
      </c>
    </row>
    <row r="16" customFormat="false" ht="15" hidden="false" customHeight="false" outlineLevel="0" collapsed="false">
      <c r="A16" s="2" t="s">
        <v>26</v>
      </c>
      <c r="B16" s="2" t="s">
        <v>25</v>
      </c>
      <c r="C16" s="3" t="n">
        <v>28600</v>
      </c>
      <c r="D16" s="4" t="s">
        <v>6</v>
      </c>
    </row>
    <row r="17" customFormat="false" ht="15" hidden="false" customHeight="false" outlineLevel="0" collapsed="false">
      <c r="A17" s="2" t="s">
        <v>27</v>
      </c>
      <c r="B17" s="2" t="s">
        <v>25</v>
      </c>
      <c r="C17" s="3" t="n">
        <v>650</v>
      </c>
      <c r="D17" s="10" t="s">
        <v>13</v>
      </c>
    </row>
    <row r="19" customFormat="false" ht="15" hidden="false" customHeight="false" outlineLevel="0" collapsed="false">
      <c r="A19" s="11" t="s">
        <v>28</v>
      </c>
      <c r="B19" s="12"/>
      <c r="C19" s="13" t="n">
        <f aca="false">COUNTA(A2:A17)</f>
        <v>16</v>
      </c>
      <c r="D19" s="12"/>
    </row>
    <row r="20" customFormat="false" ht="15" hidden="false" customHeight="false" outlineLevel="0" collapsed="false">
      <c r="A20" s="11" t="s">
        <v>29</v>
      </c>
      <c r="B20" s="12"/>
      <c r="C20" s="14" t="n">
        <f aca="false">SUM(C2:C17)</f>
        <v>137810</v>
      </c>
      <c r="D20" s="12"/>
    </row>
    <row r="21" customFormat="false" ht="15" hidden="false" customHeight="false" outlineLevel="0" collapsed="false">
      <c r="A21" s="11" t="s">
        <v>30</v>
      </c>
      <c r="B21" s="12"/>
      <c r="C21" s="13" t="n">
        <f aca="false">COUNTIF(D2:D17,"Высокочастотный")</f>
        <v>3</v>
      </c>
      <c r="D21" s="12"/>
    </row>
    <row r="22" customFormat="false" ht="15" hidden="false" customHeight="false" outlineLevel="0" collapsed="false">
      <c r="A22" s="11" t="s">
        <v>31</v>
      </c>
      <c r="B22" s="12"/>
      <c r="C22" s="13" t="n">
        <f aca="false">COUNTIF(D2:D17,"Среднечастотный")</f>
        <v>4</v>
      </c>
      <c r="D22" s="12"/>
    </row>
    <row r="23" customFormat="false" ht="15" hidden="false" customHeight="false" outlineLevel="0" collapsed="false">
      <c r="A23" s="11" t="s">
        <v>32</v>
      </c>
      <c r="B23" s="12"/>
      <c r="C23" s="13" t="n">
        <f aca="false">COUNTIF(D2:D17,"Низкочастотный")</f>
        <v>9</v>
      </c>
      <c r="D23" s="12"/>
    </row>
    <row r="25" customFormat="false" ht="15" hidden="false" customHeight="false" outlineLevel="0" collapsed="false">
      <c r="A25" s="15" t="s">
        <v>33</v>
      </c>
    </row>
    <row r="26" customFormat="false" ht="15" hidden="false" customHeight="false" outlineLevel="0" collapsed="false">
      <c r="A26" s="16" t="s">
        <v>34</v>
      </c>
    </row>
    <row r="27" customFormat="false" ht="15" hidden="false" customHeight="false" outlineLevel="0" collapsed="false">
      <c r="A27" s="16" t="s">
        <v>35</v>
      </c>
    </row>
    <row r="28" customFormat="false" ht="15" hidden="false" customHeight="false" outlineLevel="0" collapsed="false">
      <c r="A28" s="16" t="s">
        <v>36</v>
      </c>
    </row>
  </sheetData>
  <autoFilter ref="A1:D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2026-10-15T14:32:24Z</dcterms:created>
  <dc:creator>openpyxl</dc:creator>
  <dc:description/>
  <dc:language>en-US</dc:language>
  <cp:lastModifiedBy/>
  <dcterms:modified xsi:type="dcterms:W3CDTF">2026-10-15T14:32:24Z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